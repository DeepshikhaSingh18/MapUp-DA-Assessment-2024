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up\"/>
    </mc:Choice>
  </mc:AlternateContent>
  <xr:revisionPtr revIDLastSave="0" documentId="13_ncr:1_{E0AC509A-22FB-4FD0-AE0E-925EE349C9E4}" xr6:coauthVersionLast="47" xr6:coauthVersionMax="47" xr10:uidLastSave="{00000000-0000-0000-0000-000000000000}"/>
  <bookViews>
    <workbookView xWindow="-110" yWindow="-110" windowWidth="19420" windowHeight="1030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6" i="18" l="1"/>
  <c r="C22" i="19" a="1"/>
  <c r="C22" i="19" s="1"/>
  <c r="J22" i="20"/>
  <c r="D22" i="19"/>
  <c r="A1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25" i="18"/>
  <c r="D2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C5" i="15"/>
  <c r="C23" i="20"/>
  <c r="C35" i="20"/>
  <c r="C34" i="20"/>
  <c r="C24" i="20"/>
  <c r="C32" i="20"/>
  <c r="C28" i="20"/>
  <c r="C30" i="20"/>
  <c r="C25" i="20"/>
  <c r="C33" i="20"/>
  <c r="C29" i="20"/>
  <c r="C26" i="20"/>
  <c r="C27" i="20"/>
  <c r="C31" i="20"/>
</calcChain>
</file>

<file path=xl/sharedStrings.xml><?xml version="1.0" encoding="utf-8"?>
<sst xmlns="http://schemas.openxmlformats.org/spreadsheetml/2006/main" count="407" uniqueCount="185">
  <si>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</si>
  <si>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</si>
  <si>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</si>
  <si>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</si>
  <si>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</si>
  <si>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</si>
  <si>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</si>
  <si>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</si>
  <si>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</si>
  <si>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</si>
  <si>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</si>
  <si>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</si>
  <si>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</si>
  <si>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</si>
  <si>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</si>
  <si>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</si>
  <si>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</si>
  <si>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</si>
  <si>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</si>
  <si>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</si>
  <si>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</si>
  <si>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</si>
  <si>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</si>
  <si>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</si>
  <si>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</si>
  <si>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</si>
  <si>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</si>
  <si>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</si>
  <si>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</si>
  <si>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</si>
  <si>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</si>
  <si>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</si>
  <si>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</si>
  <si>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</si>
  <si>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</si>
  <si>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</si>
  <si>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</si>
  <si>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</si>
  <si>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</si>
  <si>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</si>
  <si>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</si>
  <si>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</si>
  <si>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</si>
  <si>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</si>
  <si>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</si>
  <si>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</si>
  <si>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</si>
  <si>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</si>
  <si>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</si>
  <si>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</si>
  <si>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</si>
  <si>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</si>
  <si>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</si>
  <si>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</si>
  <si>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</si>
  <si>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</si>
  <si>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</si>
  <si>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</si>
  <si>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</si>
  <si>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</si>
  <si>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</si>
  <si>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</si>
  <si>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</si>
  <si>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</si>
  <si>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</si>
  <si>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</si>
  <si>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</si>
  <si>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</si>
  <si>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</si>
  <si>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</si>
  <si>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</si>
  <si>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</si>
  <si>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</si>
  <si>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</si>
  <si>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</si>
  <si>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</si>
  <si>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</si>
  <si>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</si>
  <si>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</si>
  <si>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</si>
  <si>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</si>
  <si>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</si>
  <si>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</si>
  <si>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</si>
  <si>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</si>
  <si>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</si>
  <si>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</si>
  <si>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</si>
  <si>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</si>
  <si>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</si>
  <si>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</si>
  <si>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</si>
  <si>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</si>
  <si>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</si>
  <si>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</si>
  <si>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</si>
  <si>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</si>
  <si>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</si>
  <si>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</si>
  <si>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</si>
  <si>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</si>
  <si>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</si>
  <si>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</si>
  <si>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</si>
  <si>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</si>
  <si>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</si>
  <si>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</si>
  <si>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</si>
  <si>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</si>
  <si>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</si>
  <si>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</si>
  <si>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</si>
  <si>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</si>
  <si>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</si>
  <si>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</si>
  <si>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</si>
  <si>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</si>
  <si>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</si>
  <si>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</si>
  <si>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</si>
  <si>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</si>
  <si>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</si>
  <si>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</si>
  <si>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</si>
  <si>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</si>
  <si>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</si>
  <si>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</si>
  <si>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</si>
  <si>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</si>
  <si>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</si>
  <si>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</si>
  <si>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</si>
  <si>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</si>
  <si>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</si>
  <si>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</si>
  <si>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</si>
  <si>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</si>
  <si>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</si>
  <si>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</si>
  <si>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</si>
  <si>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</si>
  <si>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</si>
  <si>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</si>
  <si>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</si>
  <si>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</si>
  <si>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</si>
  <si>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</si>
  <si>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</si>
  <si>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</si>
  <si>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</si>
  <si>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</si>
  <si>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</si>
  <si>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</si>
  <si>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</si>
  <si>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</si>
  <si>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</si>
  <si>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</si>
  <si>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</si>
  <si>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</si>
  <si>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</si>
  <si>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</si>
  <si>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</si>
  <si>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</si>
  <si>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</si>
  <si>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</si>
  <si>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</si>
  <si>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</si>
  <si>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</si>
  <si>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</si>
  <si>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</si>
  <si>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</si>
  <si>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</si>
  <si>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</si>
  <si>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</si>
  <si>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</si>
  <si>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</si>
  <si>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</si>
  <si>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 - SUMIF(Dataset!$H:$H,"&gt;20")</t>
  </si>
  <si>
    <t>I used built-in functionality, Text to Columns from data pane</t>
  </si>
  <si>
    <t>To split values in Table_A using Text to Columns, select the data, go to the Data tab, click Text to Columns, choose Delimited, select Other and enter -, click Next, specify the destination for the split data, and click Finish.</t>
  </si>
  <si>
    <t>XLOOKUP(XLOOKUP(A23,$M$10:$M$18,$N$10:$N$18),$A$10:$A$18,XLOOKUP(XLOOKUP(B23, $M$10:$M$18,$N$10:$N$18),$B$9:$J$9,$B$10:$J$18))</t>
  </si>
  <si>
    <t>The formula uses nested XLOOKUP functions to first find corresponding values from Table A and Table B based on a lookup value from Table C. It searches both horizontally and vertically to fetch the required value by cross-referencing rows and columns from the specified ranges in Table A and B.</t>
  </si>
  <si>
    <t>SUM(IF(ISNA(C12:C21),20,C12:C21))</t>
  </si>
  <si>
    <t>The formula =SUM(IF(ISNA(C12:C21), 20, C12:C21)) checks if each value in the range C12:C21 is an #N/A error using ISNA. If an #N/A is found, it replaces it with 20; otherwise, it keeps the original value, and then it sums all the results.</t>
  </si>
  <si>
    <t>Formual - VLOOKUP(A6,Dataset!$A$2:$X$40,7,FALSE)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</si>
</sst>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Alignment="1">
      <alignment horizontal="center"/>
    </xf>
    <xf numFmtId="0" fontId="18" fillId="0" borderId="0" xfId="0" applyFont="1"/>
    <xf numFmtId="0" fontId="19" fillId="0" borderId="0" xfId="0" applyFont="1"/>
    <xf numFmtId="0" fontId="18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33" activePane="bottomLeft" state="frozen"/>
      <selection pane="bottomLeft" activeCell="J8" sqref="J8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13" priority="4"/>
  </conditionalFormatting>
  <conditionalFormatting sqref="B1:B1048576">
    <cfRule type="duplicateValues" dxfId="12" priority="3"/>
  </conditionalFormatting>
  <conditionalFormatting sqref="A1:C40 E1:X40">
    <cfRule type="cellIs" dxfId="11" priority="2" operator="equal">
      <formula>-1</formula>
    </cfRule>
    <cfRule type="cellIs" dxfId="1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J14"/>
  <sheetViews>
    <sheetView zoomScaleNormal="100" workbookViewId="0">
      <selection activeCell="G5" sqref="G5:J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10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10" x14ac:dyDescent="0.35">
      <c r="A2" s="2"/>
      <c r="B2" s="5" t="s">
        <v>159</v>
      </c>
      <c r="C2" s="2"/>
    </row>
    <row r="3" spans="1:10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10" x14ac:dyDescent="0.35">
      <c r="A4" s="6">
        <v>2</v>
      </c>
      <c r="B4" s="2" t="s">
        <v>46</v>
      </c>
      <c r="C4" s="2"/>
      <c r="E4" s="1">
        <v>5</v>
      </c>
    </row>
    <row r="5" spans="1:10" x14ac:dyDescent="0.35">
      <c r="A5" s="6">
        <v>3</v>
      </c>
      <c r="B5" s="2" t="s">
        <v>104</v>
      </c>
      <c r="C5" s="33">
        <f>SUMIF(Dataset!$H:$H,"&gt;20")</f>
        <v>1473.0000000000002</v>
      </c>
      <c r="E5" s="1">
        <v>10</v>
      </c>
      <c r="G5" s="49" t="s">
        <v>177</v>
      </c>
      <c r="H5" s="46"/>
      <c r="I5" s="46"/>
      <c r="J5" s="46"/>
    </row>
    <row r="6" spans="1:10" x14ac:dyDescent="0.35">
      <c r="A6" s="6">
        <v>4</v>
      </c>
      <c r="B6" s="2" t="s">
        <v>106</v>
      </c>
      <c r="C6" s="2"/>
      <c r="E6" s="1">
        <v>5</v>
      </c>
    </row>
    <row r="7" spans="1:10" x14ac:dyDescent="0.35">
      <c r="A7" s="2"/>
      <c r="B7" s="2"/>
      <c r="C7" s="2"/>
    </row>
    <row r="13" spans="1:10" x14ac:dyDescent="0.35">
      <c r="E13" s="2"/>
    </row>
    <row r="14" spans="1:10" x14ac:dyDescent="0.35">
      <c r="E14" s="2"/>
    </row>
  </sheetData>
  <mergeCells count="1">
    <mergeCell ref="G5:J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opLeftCell="A21" zoomScaleNormal="100" workbookViewId="0">
      <selection activeCell="B32" sqref="B32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8" s="40" customFormat="1" ht="21" x14ac:dyDescent="0.5">
      <c r="A1" s="41" t="s">
        <v>55</v>
      </c>
      <c r="B1" s="40" t="s">
        <v>163</v>
      </c>
    </row>
    <row r="2" spans="1:8" s="40" customFormat="1" ht="21" x14ac:dyDescent="0.5">
      <c r="B2" s="40" t="s">
        <v>160</v>
      </c>
    </row>
    <row r="3" spans="1:8" ht="14.5" x14ac:dyDescent="0.35">
      <c r="A3" s="1"/>
      <c r="B3" s="1"/>
      <c r="C3" s="1"/>
      <c r="D3" s="1"/>
      <c r="E3" s="1"/>
      <c r="F3" s="1"/>
      <c r="G3" s="1"/>
    </row>
    <row r="4" spans="1:8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8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8" ht="14.5" x14ac:dyDescent="0.35">
      <c r="A6" s="7" t="s">
        <v>40</v>
      </c>
      <c r="B6" s="1">
        <f>VLOOKUP(A6,Dataset!$A$2:$X$40,7,FALSE)</f>
        <v>2.7</v>
      </c>
      <c r="C6" s="1">
        <f>VLOOKUP(A6,Dataset!$A$2:$X$40,14,FALSE)</f>
        <v>7.6</v>
      </c>
      <c r="D6" s="1">
        <f>VLOOKUP(A6,Dataset!$A$2:$X$40,18,FALSE)</f>
        <v>4.2</v>
      </c>
      <c r="E6" s="1">
        <f>VLOOKUP(A6,Dataset!$A$2:$X$40,20,FALSE)</f>
        <v>8.9</v>
      </c>
      <c r="F6" s="1">
        <f>VLOOKUP(A6,Dataset!$A$2:$X$40,22,FALSE)</f>
        <v>4.2</v>
      </c>
      <c r="H6" s="48" t="s">
        <v>184</v>
      </c>
    </row>
    <row r="7" spans="1:8" ht="14.5" x14ac:dyDescent="0.35">
      <c r="A7" s="7" t="s">
        <v>4</v>
      </c>
      <c r="B7" s="1">
        <f>VLOOKUP(A7,Dataset!$A$2:$X$40,7,FALSE)</f>
        <v>2.7</v>
      </c>
      <c r="C7" s="1">
        <f>VLOOKUP(A7,Dataset!$A$2:$X$40,14,FALSE)</f>
        <v>7.6</v>
      </c>
      <c r="D7" s="1">
        <f>VLOOKUP(A7,Dataset!$A$2:$X$40,18,FALSE)</f>
        <v>4.2</v>
      </c>
      <c r="E7" s="1">
        <f>VLOOKUP(A7,Dataset!$A$2:$X$40,20,FALSE)</f>
        <v>8.9</v>
      </c>
      <c r="F7" s="1">
        <f>VLOOKUP(A7,Dataset!$A$2:$X$40,22,FALSE)</f>
        <v>4.2</v>
      </c>
    </row>
    <row r="8" spans="1:8" ht="14.5" x14ac:dyDescent="0.35">
      <c r="A8" s="7" t="s">
        <v>7</v>
      </c>
      <c r="B8" s="1">
        <f>VLOOKUP(A8,Dataset!$A$2:$X$40,7,FALSE)</f>
        <v>3.6</v>
      </c>
      <c r="C8" s="1">
        <f>VLOOKUP(A8,Dataset!$A$2:$X$40,14,FALSE)</f>
        <v>11.1</v>
      </c>
      <c r="D8" s="1">
        <f>VLOOKUP(A8,Dataset!$A$2:$X$40,18,FALSE)</f>
        <v>5.8</v>
      </c>
      <c r="E8" s="1">
        <f>VLOOKUP(A8,Dataset!$A$2:$X$40,20,FALSE)</f>
        <v>12.2</v>
      </c>
      <c r="F8" s="1">
        <f>VLOOKUP(A8,Dataset!$A$2:$X$40,22,FALSE)</f>
        <v>5.8</v>
      </c>
    </row>
    <row r="9" spans="1:8" ht="14.5" x14ac:dyDescent="0.35">
      <c r="A9" s="7" t="s">
        <v>8</v>
      </c>
      <c r="B9" s="1">
        <f>VLOOKUP(A9,Dataset!$A$2:$X$40,7,FALSE)</f>
        <v>4.9000000000000004</v>
      </c>
      <c r="C9" s="1">
        <f>VLOOKUP(A9,Dataset!$A$2:$X$40,14,FALSE)</f>
        <v>13.3</v>
      </c>
      <c r="D9" s="1">
        <f>VLOOKUP(A9,Dataset!$A$2:$X$40,18,FALSE)</f>
        <v>8.1</v>
      </c>
      <c r="E9" s="1">
        <f>VLOOKUP(A9,Dataset!$A$2:$X$40,20,FALSE)</f>
        <v>17</v>
      </c>
      <c r="F9" s="1">
        <f>VLOOKUP(A9,Dataset!$A$2:$X$40,22,FALSE)</f>
        <v>8.1</v>
      </c>
    </row>
    <row r="10" spans="1:8" ht="14.5" x14ac:dyDescent="0.35">
      <c r="A10" s="7" t="s">
        <v>11</v>
      </c>
      <c r="B10" s="1">
        <f>VLOOKUP(A10,Dataset!$A$2:$X$40,7,FALSE)</f>
        <v>9.4</v>
      </c>
      <c r="C10" s="1">
        <f>VLOOKUP(A10,Dataset!$A$2:$X$40,14,FALSE)</f>
        <v>28.3</v>
      </c>
      <c r="D10" s="1">
        <f>VLOOKUP(A10,Dataset!$A$2:$X$40,18,FALSE)</f>
        <v>16.100000000000001</v>
      </c>
      <c r="E10" s="1">
        <f>VLOOKUP(A10,Dataset!$A$2:$X$40,20,FALSE)</f>
        <v>32.799999999999997</v>
      </c>
      <c r="F10" s="1">
        <f>VLOOKUP(A10,Dataset!$A$2:$X$40,22,FALSE)</f>
        <v>16.100000000000001</v>
      </c>
    </row>
    <row r="11" spans="1:8" ht="14.5" x14ac:dyDescent="0.35">
      <c r="A11" s="7" t="s">
        <v>12</v>
      </c>
      <c r="B11" s="1">
        <f>VLOOKUP(A11,Dataset!$A$2:$X$40,7,FALSE)</f>
        <v>11.6</v>
      </c>
      <c r="C11" s="1">
        <f>VLOOKUP(A11,Dataset!$A$2:$X$40,14,FALSE)</f>
        <v>35.200000000000003</v>
      </c>
      <c r="D11" s="1">
        <f>VLOOKUP(A11,Dataset!$A$2:$X$40,18,FALSE)</f>
        <v>21.3</v>
      </c>
      <c r="E11" s="1">
        <f>VLOOKUP(A11,Dataset!$A$2:$X$40,20,FALSE)</f>
        <v>43</v>
      </c>
      <c r="F11" s="1">
        <f>VLOOKUP(A11,Dataset!$A$2:$X$40,22,FALSE)</f>
        <v>21.3</v>
      </c>
    </row>
    <row r="12" spans="1:8" ht="14.5" x14ac:dyDescent="0.35">
      <c r="A12" s="7" t="s">
        <v>14</v>
      </c>
      <c r="B12" s="1">
        <f>VLOOKUP(A12,Dataset!$A$2:$X$40,7,FALSE)</f>
        <v>18.399999999999999</v>
      </c>
      <c r="C12" s="1">
        <f>VLOOKUP(A12,Dataset!$A$2:$X$40,14,FALSE)</f>
        <v>55.6</v>
      </c>
      <c r="D12" s="1">
        <f>VLOOKUP(A12,Dataset!$A$2:$X$40,18,FALSE)</f>
        <v>33.799999999999997</v>
      </c>
      <c r="E12" s="1">
        <f>VLOOKUP(A12,Dataset!$A$2:$X$40,20,FALSE)</f>
        <v>67.900000000000006</v>
      </c>
      <c r="F12" s="1">
        <f>VLOOKUP(A12,Dataset!$A$2:$X$40,22,FALSE)</f>
        <v>33.799999999999997</v>
      </c>
    </row>
    <row r="13" spans="1:8" ht="14.5" x14ac:dyDescent="0.35">
      <c r="A13" s="7" t="s">
        <v>15</v>
      </c>
      <c r="B13" s="1">
        <f>VLOOKUP(A13,Dataset!$A$2:$X$40,7,FALSE)</f>
        <v>0</v>
      </c>
      <c r="C13" s="1">
        <f>VLOOKUP(A13,Dataset!$A$2:$X$40,14,FALSE)</f>
        <v>0</v>
      </c>
      <c r="D13" s="1">
        <f>VLOOKUP(A13,Dataset!$A$2:$X$40,18,FALSE)</f>
        <v>0</v>
      </c>
      <c r="E13" s="1">
        <f>VLOOKUP(A13,Dataset!$A$2:$X$40,20,FALSE)</f>
        <v>0</v>
      </c>
      <c r="F13" s="1">
        <f>VLOOKUP(A13,Dataset!$A$2:$X$40,22,FALSE)</f>
        <v>0</v>
      </c>
    </row>
    <row r="14" spans="1:8" ht="14.5" x14ac:dyDescent="0.35">
      <c r="A14" s="7" t="s">
        <v>16</v>
      </c>
      <c r="B14" s="1">
        <f>VLOOKUP(A14,Dataset!$A$2:$X$40,7,FALSE)</f>
        <v>21.9</v>
      </c>
      <c r="C14" s="1">
        <f>VLOOKUP(A14,Dataset!$A$2:$X$40,14,FALSE)</f>
        <v>61.5</v>
      </c>
      <c r="D14" s="1">
        <f>VLOOKUP(A14,Dataset!$A$2:$X$40,18,FALSE)</f>
        <v>40.1</v>
      </c>
      <c r="E14" s="1">
        <f>VLOOKUP(A14,Dataset!$A$2:$X$40,20,FALSE)</f>
        <v>76.599999999999994</v>
      </c>
      <c r="F14" s="1">
        <f>VLOOKUP(A14,Dataset!$A$2:$X$40,22,FALSE)</f>
        <v>40.1</v>
      </c>
    </row>
    <row r="15" spans="1:8" ht="14.5" x14ac:dyDescent="0.35">
      <c r="A15" s="7" t="s">
        <v>18</v>
      </c>
      <c r="B15" s="1">
        <f>VLOOKUP(A15,Dataset!$A$2:$X$40,7,FALSE)</f>
        <v>26.8</v>
      </c>
      <c r="C15" s="1">
        <f>VLOOKUP(A15,Dataset!$A$2:$X$40,14,FALSE)</f>
        <v>79.599999999999994</v>
      </c>
      <c r="D15" s="1">
        <f>VLOOKUP(A15,Dataset!$A$2:$X$40,18,FALSE)</f>
        <v>47.9</v>
      </c>
      <c r="E15" s="1">
        <f>VLOOKUP(A15,Dataset!$A$2:$X$40,20,FALSE)</f>
        <v>96.8</v>
      </c>
      <c r="F15" s="1">
        <f>VLOOKUP(A15,Dataset!$A$2:$X$40,22,FALSE)</f>
        <v>47.9</v>
      </c>
    </row>
    <row r="16" spans="1:8" ht="14.5" x14ac:dyDescent="0.35">
      <c r="A16" s="7" t="s">
        <v>20</v>
      </c>
      <c r="B16" s="1">
        <f>VLOOKUP(A16,Dataset!$A$2:$X$40,7,FALSE)</f>
        <v>28.5</v>
      </c>
      <c r="C16" s="1">
        <f>VLOOKUP(A16,Dataset!$A$2:$X$40,14,FALSE)</f>
        <v>85.4</v>
      </c>
      <c r="D16" s="1">
        <f>VLOOKUP(A16,Dataset!$A$2:$X$40,18,FALSE)</f>
        <v>52.3</v>
      </c>
      <c r="E16" s="1">
        <f>VLOOKUP(A16,Dataset!$A$2:$X$40,20,FALSE)</f>
        <v>106.1</v>
      </c>
      <c r="F16" s="1">
        <f>VLOOKUP(A16,Dataset!$A$2:$X$40,22,FALSE)</f>
        <v>52.3</v>
      </c>
    </row>
    <row r="17" spans="1:7" ht="14.5" x14ac:dyDescent="0.35">
      <c r="A17" s="7" t="s">
        <v>22</v>
      </c>
      <c r="B17" s="1">
        <f>VLOOKUP(A17,Dataset!$A$2:$X$40,7,FALSE)</f>
        <v>30.7</v>
      </c>
      <c r="C17" s="1">
        <f>VLOOKUP(A17,Dataset!$A$2:$X$40,14,FALSE)</f>
        <v>92.1</v>
      </c>
      <c r="D17" s="1">
        <f>VLOOKUP(A17,Dataset!$A$2:$X$40,18,FALSE)</f>
        <v>57</v>
      </c>
      <c r="E17" s="1">
        <f>VLOOKUP(A17,Dataset!$A$2:$X$40,20,FALSE)</f>
        <v>115.1</v>
      </c>
      <c r="F17" s="1">
        <f>VLOOKUP(A17,Dataset!$A$2:$X$40,22,FALSE)</f>
        <v>57</v>
      </c>
    </row>
    <row r="18" spans="1:7" ht="14.5" x14ac:dyDescent="0.35">
      <c r="A18" s="7" t="s">
        <v>23</v>
      </c>
      <c r="B18" s="1">
        <f>VLOOKUP(A18,Dataset!$A$2:$X$40,7,FALSE)</f>
        <v>33.799999999999997</v>
      </c>
      <c r="C18" s="1">
        <f>VLOOKUP(A18,Dataset!$A$2:$X$40,14,FALSE)</f>
        <v>101.3</v>
      </c>
      <c r="D18" s="1">
        <f>VLOOKUP(A18,Dataset!$A$2:$X$40,18,FALSE)</f>
        <v>61.4</v>
      </c>
      <c r="E18" s="1">
        <f>VLOOKUP(A18,Dataset!$A$2:$X$40,20,FALSE)</f>
        <v>124.4</v>
      </c>
      <c r="F18" s="1">
        <f>VLOOKUP(A18,Dataset!$A$2:$X$40,22,FALSE)</f>
        <v>61.4</v>
      </c>
    </row>
    <row r="19" spans="1:7" ht="14.5" x14ac:dyDescent="0.35">
      <c r="A19" s="7" t="s">
        <v>24</v>
      </c>
      <c r="B19" s="1">
        <f>VLOOKUP(A19,Dataset!$A$2:$X$40,7,FALSE)</f>
        <v>34.700000000000003</v>
      </c>
      <c r="C19" s="1">
        <f>VLOOKUP(A19,Dataset!$A$2:$X$40,14,FALSE)</f>
        <v>106.1</v>
      </c>
      <c r="D19" s="1">
        <f>VLOOKUP(A19,Dataset!$A$2:$X$40,18,FALSE)</f>
        <v>63.6</v>
      </c>
      <c r="E19" s="1">
        <f>VLOOKUP(A19,Dataset!$A$2:$X$40,20,FALSE)</f>
        <v>128.6</v>
      </c>
      <c r="F19" s="1">
        <f>VLOOKUP(A19,Dataset!$A$2:$X$40,22,FALSE)</f>
        <v>63.6</v>
      </c>
    </row>
    <row r="20" spans="1:7" ht="14.5" x14ac:dyDescent="0.35">
      <c r="A20" s="7" t="s">
        <v>28</v>
      </c>
      <c r="B20" s="1">
        <f>VLOOKUP(A20,Dataset!$A$2:$X$40,7,FALSE)</f>
        <v>0</v>
      </c>
      <c r="C20" s="1">
        <f>VLOOKUP(A20,Dataset!$A$2:$X$40,14,FALSE)</f>
        <v>0</v>
      </c>
      <c r="D20" s="1">
        <f>VLOOKUP(A20,Dataset!$A$2:$X$40,18,FALSE)</f>
        <v>0</v>
      </c>
      <c r="E20" s="1">
        <f>VLOOKUP(A20,Dataset!$A$2:$X$40,20,FALSE)</f>
        <v>0</v>
      </c>
      <c r="F20" s="1">
        <f>VLOOKUP(A20,Dataset!$A$2:$X$40,22,FALSE)</f>
        <v>0</v>
      </c>
    </row>
    <row r="21" spans="1:7" ht="14.5" x14ac:dyDescent="0.35">
      <c r="A21" s="7" t="s">
        <v>57</v>
      </c>
      <c r="B21" s="1">
        <f>VLOOKUP(A21,Dataset!$A$2:$X$40,7,FALSE)</f>
        <v>41.3</v>
      </c>
      <c r="C21" s="1">
        <f>VLOOKUP(A21,Dataset!$A$2:$X$40,14,FALSE)</f>
        <v>124.4</v>
      </c>
      <c r="D21" s="1">
        <f>VLOOKUP(A21,Dataset!$A$2:$X$40,18,FALSE)</f>
        <v>75</v>
      </c>
      <c r="E21" s="1">
        <f>VLOOKUP(A21,Dataset!$A$2:$X$40,20,FALSE)</f>
        <v>151.5</v>
      </c>
      <c r="F21" s="1">
        <f>VLOOKUP(A21,Dataset!$A$2:$X$40,22,FALSE)</f>
        <v>75</v>
      </c>
    </row>
    <row r="22" spans="1:7" ht="14.5" x14ac:dyDescent="0.35">
      <c r="A22" s="7" t="s">
        <v>58</v>
      </c>
      <c r="B22" s="1">
        <f>VLOOKUP(A22,Dataset!$A$2:$X$40,7,FALSE)</f>
        <v>-1</v>
      </c>
      <c r="C22" s="1">
        <f>VLOOKUP(A22,Dataset!$A$2:$X$40,14,FALSE)</f>
        <v>-1</v>
      </c>
      <c r="D22" s="1">
        <f>VLOOKUP(A22,Dataset!$A$2:$X$40,18,FALSE)</f>
        <v>-1</v>
      </c>
      <c r="E22" s="1">
        <f>VLOOKUP(A22,Dataset!$A$2:$X$40,20,FALSE)</f>
        <v>-1</v>
      </c>
      <c r="F22" s="1">
        <f>VLOOKUP(A22,Dataset!$A$2:$X$40,22,FALSE)</f>
        <v>-1</v>
      </c>
    </row>
    <row r="23" spans="1:7" ht="14.5" x14ac:dyDescent="0.35">
      <c r="A23" s="7" t="s">
        <v>31</v>
      </c>
      <c r="B23" s="1">
        <f>VLOOKUP(A23,Dataset!$A$2:$X$40,7,FALSE)</f>
        <v>45</v>
      </c>
      <c r="C23" s="1">
        <f>VLOOKUP(A23,Dataset!$A$2:$X$40,14,FALSE)</f>
        <v>133.4</v>
      </c>
      <c r="D23" s="1">
        <f>VLOOKUP(A23,Dataset!$A$2:$X$40,18,FALSE)</f>
        <v>79.400000000000006</v>
      </c>
      <c r="E23" s="1">
        <f>VLOOKUP(A23,Dataset!$A$2:$X$40,20,FALSE)</f>
        <v>160.9</v>
      </c>
      <c r="F23" s="1">
        <f>VLOOKUP(A23,Dataset!$A$2:$X$40,22,FALSE)</f>
        <v>79.400000000000006</v>
      </c>
    </row>
    <row r="24" spans="1:7" ht="14.5" x14ac:dyDescent="0.35">
      <c r="A24" s="7" t="s">
        <v>32</v>
      </c>
      <c r="B24" s="1">
        <f>VLOOKUP(A24,Dataset!$A$2:$X$40,7,FALSE)</f>
        <v>-1</v>
      </c>
      <c r="C24" s="1">
        <f>VLOOKUP(A24,Dataset!$A$2:$X$40,14,FALSE)</f>
        <v>-1</v>
      </c>
      <c r="D24" s="1">
        <f>VLOOKUP(A24,Dataset!$A$2:$X$40,18,FALSE)</f>
        <v>-1</v>
      </c>
      <c r="E24" s="1">
        <f>VLOOKUP(A24,Dataset!$A$2:$X$40,20,FALSE)</f>
        <v>-1</v>
      </c>
      <c r="F24" s="1">
        <f>VLOOKUP(A24,Dataset!$A$2:$X$40,22,FALSE)</f>
        <v>-1</v>
      </c>
    </row>
    <row r="25" spans="1:7" ht="14.5" x14ac:dyDescent="0.35">
      <c r="A25" s="7" t="s">
        <v>34</v>
      </c>
      <c r="B25" s="1">
        <f>VLOOKUP(A25,Dataset!$A$2:$X$40,7,FALSE)</f>
        <v>43.3</v>
      </c>
      <c r="C25" s="1">
        <f>VLOOKUP(A25,Dataset!$A$2:$X$40,14,FALSE)</f>
        <v>128.6</v>
      </c>
      <c r="D25" s="1">
        <f>VLOOKUP(A25,Dataset!$A$2:$X$40,18,FALSE)</f>
        <v>79.400000000000006</v>
      </c>
      <c r="E25" s="1">
        <f>VLOOKUP(A25,Dataset!$A$2:$X$40,20,FALSE)</f>
        <v>160.9</v>
      </c>
      <c r="F25" s="1">
        <f>VLOOKUP(A25,Dataset!$A$2:$X$40,22,FALSE)</f>
        <v>79.400000000000006</v>
      </c>
    </row>
    <row r="26" spans="1:7" ht="14.5" x14ac:dyDescent="0.35">
      <c r="A26" s="7" t="s">
        <v>37</v>
      </c>
      <c r="B26" s="1">
        <f>VLOOKUP(A26,Dataset!$A$2:$X$40,7,FALSE)</f>
        <v>49.1</v>
      </c>
      <c r="C26" s="1">
        <f>VLOOKUP(A26,Dataset!$A$2:$X$40,14,FALSE)</f>
        <v>146.80000000000001</v>
      </c>
      <c r="D26" s="1">
        <f>VLOOKUP(A26,Dataset!$A$2:$X$40,18,FALSE)</f>
        <v>90.9</v>
      </c>
      <c r="E26" s="1">
        <f>VLOOKUP(A26,Dataset!$A$2:$X$40,20,FALSE)</f>
        <v>183.5</v>
      </c>
      <c r="F26" s="1">
        <f>VLOOKUP(A26,Dataset!$A$2:$X$40,22,FALSE)</f>
        <v>90.9</v>
      </c>
    </row>
    <row r="27" spans="1:7" ht="14.5" x14ac:dyDescent="0.35">
      <c r="A27" s="7" t="s">
        <v>39</v>
      </c>
      <c r="B27" s="1">
        <f>VLOOKUP(A27,Dataset!$A$2:$X$40,7,FALSE)</f>
        <v>51.8</v>
      </c>
      <c r="C27" s="1">
        <f>VLOOKUP(A27,Dataset!$A$2:$X$40,14,FALSE)</f>
        <v>156.4</v>
      </c>
      <c r="D27" s="1">
        <f>VLOOKUP(A27,Dataset!$A$2:$X$40,18,FALSE)</f>
        <v>93.1</v>
      </c>
      <c r="E27" s="1">
        <f>VLOOKUP(A27,Dataset!$A$2:$X$40,20,FALSE)</f>
        <v>188.1</v>
      </c>
      <c r="F27" s="1">
        <f>VLOOKUP(A27,Dataset!$A$2:$X$40,22,FALSE)</f>
        <v>93.1</v>
      </c>
    </row>
    <row r="28" spans="1:7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7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7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  <c r="G30" s="30"/>
    </row>
  </sheetData>
  <conditionalFormatting sqref="B6:B27">
    <cfRule type="cellIs" dxfId="9" priority="21" operator="equal">
      <formula>0</formula>
    </cfRule>
    <cfRule type="cellIs" dxfId="8" priority="22" operator="equal">
      <formula>-1</formula>
    </cfRule>
  </conditionalFormatting>
  <conditionalFormatting sqref="C6:C27">
    <cfRule type="cellIs" dxfId="7" priority="19" operator="equal">
      <formula>0</formula>
    </cfRule>
    <cfRule type="cellIs" dxfId="6" priority="20" operator="equal">
      <formula>-1</formula>
    </cfRule>
  </conditionalFormatting>
  <conditionalFormatting sqref="D6:D27">
    <cfRule type="cellIs" dxfId="5" priority="17" operator="equal">
      <formula>0</formula>
    </cfRule>
    <cfRule type="cellIs" dxfId="4" priority="18" operator="equal">
      <formula>-1</formula>
    </cfRule>
  </conditionalFormatting>
  <conditionalFormatting sqref="E6:E27">
    <cfRule type="cellIs" dxfId="3" priority="15" operator="equal">
      <formula>0</formula>
    </cfRule>
    <cfRule type="cellIs" dxfId="2" priority="16" operator="equal">
      <formula>-1</formula>
    </cfRule>
  </conditionalFormatting>
  <conditionalFormatting sqref="F6:F27">
    <cfRule type="cellIs" dxfId="1" priority="13" operator="equal">
      <formula>0</formula>
    </cfRule>
    <cfRule type="cellIs" dxfId="0" priority="14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D9" sqref="D9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e">
        <f>A1:L44Task_3</f>
        <v>#NAME?</v>
      </c>
      <c r="B1" s="40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53</v>
      </c>
      <c r="B5" s="39" t="s">
        <v>178</v>
      </c>
    </row>
    <row r="6" spans="1:10" ht="18.5" x14ac:dyDescent="0.45">
      <c r="A6" s="42" t="s">
        <v>152</v>
      </c>
      <c r="B6" s="39" t="s">
        <v>179</v>
      </c>
    </row>
    <row r="7" spans="1:10" ht="18.5" x14ac:dyDescent="0.45">
      <c r="A7" s="42"/>
      <c r="B7" s="39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abSelected="1" zoomScaleNormal="100" workbookViewId="0">
      <selection activeCell="F13" sqref="F13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1" t="s">
        <v>85</v>
      </c>
      <c r="B1" s="40" t="s">
        <v>166</v>
      </c>
    </row>
    <row r="2" spans="1:4" ht="18.5" x14ac:dyDescent="0.45">
      <c r="B2" s="39" t="s">
        <v>165</v>
      </c>
    </row>
    <row r="5" spans="1:4" ht="14.5" x14ac:dyDescent="0.35">
      <c r="B5" s="1" t="s">
        <v>150</v>
      </c>
    </row>
    <row r="6" spans="1:4" ht="14.5" x14ac:dyDescent="0.35">
      <c r="A6" s="3" t="s">
        <v>53</v>
      </c>
      <c r="B6" s="47" t="s">
        <v>182</v>
      </c>
    </row>
    <row r="7" spans="1:4" ht="14.5" x14ac:dyDescent="0.35">
      <c r="A7" s="3" t="s">
        <v>152</v>
      </c>
      <c r="B7" s="1" t="s">
        <v>183</v>
      </c>
    </row>
    <row r="10" spans="1:4" ht="23.5" x14ac:dyDescent="0.55000000000000004">
      <c r="A10" s="17" t="s">
        <v>161</v>
      </c>
    </row>
    <row r="11" spans="1:4" ht="14.5" x14ac:dyDescent="0.35">
      <c r="A11" s="31" t="s">
        <v>86</v>
      </c>
      <c r="B11" s="16" t="s">
        <v>87</v>
      </c>
      <c r="C11" s="16" t="s">
        <v>88</v>
      </c>
    </row>
    <row r="12" spans="1:4" ht="14.5" x14ac:dyDescent="0.35">
      <c r="A12" s="31">
        <v>44927</v>
      </c>
      <c r="B12" s="16" t="s">
        <v>59</v>
      </c>
      <c r="C12" s="16">
        <v>200</v>
      </c>
      <c r="D12" s="16">
        <v>200</v>
      </c>
    </row>
    <row r="13" spans="1:4" ht="14.5" x14ac:dyDescent="0.35">
      <c r="A13" s="31">
        <v>44928</v>
      </c>
      <c r="B13" s="16" t="s">
        <v>60</v>
      </c>
      <c r="C13" s="16" t="e">
        <v>#N/A</v>
      </c>
      <c r="D13" s="16">
        <v>20</v>
      </c>
    </row>
    <row r="14" spans="1:4" ht="14.5" x14ac:dyDescent="0.35">
      <c r="A14" s="31">
        <v>44929</v>
      </c>
      <c r="B14" s="16" t="s">
        <v>61</v>
      </c>
      <c r="C14" s="16">
        <v>50</v>
      </c>
      <c r="D14" s="16">
        <v>50</v>
      </c>
    </row>
    <row r="15" spans="1:4" ht="14.5" x14ac:dyDescent="0.35">
      <c r="A15" s="31">
        <v>44930</v>
      </c>
      <c r="B15" s="16" t="s">
        <v>62</v>
      </c>
      <c r="C15" s="16" t="e">
        <v>#N/A</v>
      </c>
      <c r="D15" s="16">
        <v>20</v>
      </c>
    </row>
    <row r="16" spans="1:4" ht="14.5" x14ac:dyDescent="0.35">
      <c r="A16" s="31">
        <v>44931</v>
      </c>
      <c r="B16" s="16" t="s">
        <v>63</v>
      </c>
      <c r="C16" s="16">
        <v>10</v>
      </c>
      <c r="D16" s="16">
        <v>10</v>
      </c>
    </row>
    <row r="17" spans="1:4" ht="14.5" x14ac:dyDescent="0.35">
      <c r="A17" s="31">
        <v>44932</v>
      </c>
      <c r="B17" s="16" t="s">
        <v>153</v>
      </c>
      <c r="C17" s="16">
        <v>150</v>
      </c>
      <c r="D17" s="16">
        <v>150</v>
      </c>
    </row>
    <row r="18" spans="1:4" ht="14.5" x14ac:dyDescent="0.35">
      <c r="A18" s="31">
        <v>44933</v>
      </c>
      <c r="B18" s="16" t="s">
        <v>154</v>
      </c>
      <c r="C18" s="16">
        <v>80</v>
      </c>
      <c r="D18" s="16">
        <v>80</v>
      </c>
    </row>
    <row r="19" spans="1:4" ht="14.5" x14ac:dyDescent="0.35">
      <c r="A19" s="31">
        <v>44934</v>
      </c>
      <c r="B19" s="16" t="s">
        <v>155</v>
      </c>
      <c r="C19" s="16" t="e">
        <v>#N/A</v>
      </c>
      <c r="D19" s="16">
        <v>20</v>
      </c>
    </row>
    <row r="20" spans="1:4" ht="14.5" x14ac:dyDescent="0.35">
      <c r="A20" s="31">
        <v>44935</v>
      </c>
      <c r="B20" s="16" t="s">
        <v>156</v>
      </c>
      <c r="C20" s="16">
        <v>30</v>
      </c>
      <c r="D20" s="16">
        <v>30</v>
      </c>
    </row>
    <row r="21" spans="1:4" ht="14.5" x14ac:dyDescent="0.35">
      <c r="A21" s="31">
        <v>44936</v>
      </c>
      <c r="B21" s="16" t="s">
        <v>157</v>
      </c>
      <c r="C21" s="16" t="e">
        <v>#N/A</v>
      </c>
      <c r="D21" s="16">
        <v>20</v>
      </c>
    </row>
    <row r="22" spans="1:4" ht="14.5" x14ac:dyDescent="0.35">
      <c r="B22" s="16" t="s">
        <v>158</v>
      </c>
      <c r="C22" s="24">
        <f t="array" ref="C22">SUM(IF(ISNA(C12:C21),20,C12:C21))</f>
        <v>600</v>
      </c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6" sqref="C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174</v>
      </c>
    </row>
    <row r="3" spans="1:14" ht="14.5" x14ac:dyDescent="0.35">
      <c r="B3" s="1" t="s">
        <v>150</v>
      </c>
    </row>
    <row r="4" spans="1:14" ht="18.5" x14ac:dyDescent="0.45">
      <c r="A4" s="42" t="s">
        <v>53</v>
      </c>
      <c r="B4" s="1"/>
      <c r="C4" s="48" t="s">
        <v>180</v>
      </c>
    </row>
    <row r="5" spans="1:14" ht="18.5" x14ac:dyDescent="0.45">
      <c r="A5" s="42" t="s">
        <v>152</v>
      </c>
      <c r="B5" s="1" t="s">
        <v>181</v>
      </c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100</v>
      </c>
      <c r="B22" s="16" t="s">
        <v>101</v>
      </c>
      <c r="C22" s="15" t="s">
        <v>102</v>
      </c>
      <c r="J22" s="2" t="e">
        <f ca="1">_xlfn.XLOOKUP(_xlfn.XLOOKUP(A23,$M$10:$M$18,$N$10:$N$18),$A$10:$A$18,_xlfn.XLOOKUP(_xlfn.XLOOKUP(B23,$M$10:$M$18,$N$10:$N$18),$B$9:$J$9,$B$10:$J$18))</f>
        <v>#NAME?</v>
      </c>
    </row>
    <row r="23" spans="1:14" ht="14.5" x14ac:dyDescent="0.35">
      <c r="A23" s="7">
        <v>10100</v>
      </c>
      <c r="B23" s="11">
        <v>10102</v>
      </c>
      <c r="C23" s="43">
        <f>_xll.XLOOKUP(_xll.XLOOKUP(A23,$M$10:$M$18,$N$10:$N$18),$A$10:$A$18,_xll.XLOOKUP(_xll.XLOOKUP(B23, $M$10:$M$18,$N$10:$N$18),$B$9:$J$9,$B$10:$J$18))</f>
        <v>95</v>
      </c>
    </row>
    <row r="24" spans="1:14" ht="14.5" x14ac:dyDescent="0.35">
      <c r="A24" s="7">
        <v>10100</v>
      </c>
      <c r="B24" s="11">
        <v>10104</v>
      </c>
      <c r="C24" s="43">
        <f>_xll.XLOOKUP(_xll.XLOOKUP(A24,$M$10:$M$18,$N$10:$N$18),$A$10:$A$18,_xll.XLOOKUP(_xll.XLOOKUP(B24, $M$10:$M$18,$N$10:$N$18),$B$9:$J$9,$B$10:$J$18))</f>
        <v>-1</v>
      </c>
    </row>
    <row r="25" spans="1:14" ht="14.5" x14ac:dyDescent="0.35">
      <c r="A25" s="7">
        <v>10108</v>
      </c>
      <c r="B25" s="11">
        <v>10102</v>
      </c>
      <c r="C25" s="43">
        <f>_xll.XLOOKUP(_xll.XLOOKUP(A25,$M$10:$M$18,$N$10:$N$18),$A$10:$A$18,_xll.XLOOKUP(_xll.XLOOKUP(B25, $M$10:$M$18,$N$10:$N$18),$B$9:$J$9,$B$10:$J$18))</f>
        <v>160</v>
      </c>
    </row>
    <row r="26" spans="1:14" ht="14.5" x14ac:dyDescent="0.35">
      <c r="A26" s="7">
        <v>10100</v>
      </c>
      <c r="B26" s="11">
        <v>10106</v>
      </c>
      <c r="C26" s="43">
        <f>_xll.XLOOKUP(_xll.XLOOKUP(A26,$M$10:$M$18,$N$10:$N$18),$A$10:$A$18,_xll.XLOOKUP(_xll.XLOOKUP(B26, $M$10:$M$18,$N$10:$N$18),$B$9:$J$9,$B$10:$J$18))</f>
        <v>185</v>
      </c>
    </row>
    <row r="27" spans="1:14" ht="14.5" x14ac:dyDescent="0.35">
      <c r="A27" s="7">
        <v>10108</v>
      </c>
      <c r="B27" s="11">
        <v>10110</v>
      </c>
      <c r="C27" s="43">
        <f>_xll.XLOOKUP(_xll.XLOOKUP(A27,$M$10:$M$18,$N$10:$N$18),$A$10:$A$18,_xll.XLOOKUP(_xll.XLOOKUP(B27, $M$10:$M$18,$N$10:$N$18),$B$9:$J$9,$B$10:$J$18))</f>
        <v>50</v>
      </c>
    </row>
    <row r="28" spans="1:14" ht="14.5" x14ac:dyDescent="0.35">
      <c r="A28" s="7">
        <v>10102</v>
      </c>
      <c r="B28" s="11">
        <v>10104</v>
      </c>
      <c r="C28" s="43">
        <f>_xll.XLOOKUP(_xll.XLOOKUP(A28,$M$10:$M$18,$N$10:$N$18),$A$10:$A$18,_xll.XLOOKUP(_xll.XLOOKUP(B28, $M$10:$M$18,$N$10:$N$18),$B$9:$J$9,$B$10:$J$18))</f>
        <v>-1</v>
      </c>
    </row>
    <row r="29" spans="1:14" ht="14.5" x14ac:dyDescent="0.35">
      <c r="A29" s="7">
        <v>10106</v>
      </c>
      <c r="B29" s="11">
        <v>10108</v>
      </c>
      <c r="C29" s="43">
        <f>_xll.XLOOKUP(_xll.XLOOKUP(A29,$M$10:$M$18,$N$10:$N$18),$A$10:$A$18,_xll.XLOOKUP(_xll.XLOOKUP(B29, $M$10:$M$18,$N$10:$N$18),$B$9:$J$9,$B$10:$J$18))</f>
        <v>70</v>
      </c>
    </row>
    <row r="30" spans="1:14" ht="14.5" x14ac:dyDescent="0.35">
      <c r="A30" s="7">
        <v>10102</v>
      </c>
      <c r="B30" s="11">
        <v>10106</v>
      </c>
      <c r="C30" s="43">
        <f>_xll.XLOOKUP(_xll.XLOOKUP(A30,$M$10:$M$18,$N$10:$N$18),$A$10:$A$18,_xll.XLOOKUP(_xll.XLOOKUP(B30, $M$10:$M$18,$N$10:$N$18),$B$9:$J$9,$B$10:$J$18))</f>
        <v>90</v>
      </c>
    </row>
    <row r="31" spans="1:14" ht="14.5" x14ac:dyDescent="0.35">
      <c r="A31" s="7">
        <v>10110</v>
      </c>
      <c r="B31" s="11">
        <v>10114</v>
      </c>
      <c r="C31" s="43">
        <f>_xll.XLOOKUP(_xll.XLOOKUP(A31,$M$10:$M$18,$N$10:$N$18),$A$10:$A$18,_xll.XLOOKUP(_xll.XLOOKUP(B31, $M$10:$M$18,$N$10:$N$18),$B$9:$J$9,$B$10:$J$18))</f>
        <v>180</v>
      </c>
    </row>
    <row r="32" spans="1:14" ht="14.5" x14ac:dyDescent="0.35">
      <c r="A32" s="7">
        <v>10104</v>
      </c>
      <c r="B32" s="11">
        <v>10106</v>
      </c>
      <c r="C32" s="43">
        <f>_xll.XLOOKUP(_xll.XLOOKUP(A32,$M$10:$M$18,$N$10:$N$18),$A$10:$A$18,_xll.XLOOKUP(_xll.XLOOKUP(B32, $M$10:$M$18,$N$10:$N$18),$B$9:$J$9,$B$10:$J$18))</f>
        <v>60</v>
      </c>
    </row>
    <row r="33" spans="1:3" ht="14.5" x14ac:dyDescent="0.35">
      <c r="A33" s="7">
        <v>10110</v>
      </c>
      <c r="B33" s="11">
        <v>10112</v>
      </c>
      <c r="C33" s="43">
        <f>_xll.XLOOKUP(_xll.XLOOKUP(A33,$M$10:$M$18,$N$10:$N$18),$A$10:$A$18,_xll.XLOOKUP(_xll.XLOOKUP(B33, $M$10:$M$18,$N$10:$N$18),$B$9:$J$9,$B$10:$J$18))</f>
        <v>115</v>
      </c>
    </row>
    <row r="34" spans="1:3" ht="14.5" x14ac:dyDescent="0.35">
      <c r="A34" s="7">
        <v>10100</v>
      </c>
      <c r="B34" s="11">
        <v>10114</v>
      </c>
      <c r="C34" s="43">
        <f>_xll.XLOOKUP(_xll.XLOOKUP(A34,$M$10:$M$18,$N$10:$N$18),$A$10:$A$18,_xll.XLOOKUP(_xll.XLOOKUP(B34, $M$10:$M$18,$N$10:$N$18),$B$9:$J$9,$B$10:$J$18))</f>
        <v>480</v>
      </c>
    </row>
    <row r="35" spans="1:3" ht="14.5" x14ac:dyDescent="0.35">
      <c r="A35" s="8">
        <v>10112</v>
      </c>
      <c r="B35" s="12">
        <v>10116</v>
      </c>
      <c r="C35" s="43">
        <f>_xll.XLOOKUP(_xll.XLOOKUP(A35,$M$10:$M$18,$N$10:$N$18),$A$10:$A$18,_xll.XLOOKUP(_xll.XLOOKUP(B35, $M$10:$M$18,$N$10:$N$18),$B$9:$J$9,$B$10:$J$18))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Deepshikha Singh</cp:lastModifiedBy>
  <dcterms:created xsi:type="dcterms:W3CDTF">2015-02-10T17:33:11Z</dcterms:created>
  <dcterms:modified xsi:type="dcterms:W3CDTF">2024-10-23T09:42:32Z</dcterms:modified>
</cp:coreProperties>
</file>